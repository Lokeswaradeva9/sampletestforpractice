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keswaradevarasetty/Pictures/"/>
    </mc:Choice>
  </mc:AlternateContent>
  <xr:revisionPtr revIDLastSave="0" documentId="13_ncr:1_{3E869385-76DB-0F4F-B2A4-D40A5E517748}" xr6:coauthVersionLast="47" xr6:coauthVersionMax="47" xr10:uidLastSave="{00000000-0000-0000-0000-000000000000}"/>
  <bookViews>
    <workbookView xWindow="140" yWindow="620" windowWidth="26740" windowHeight="15680" xr2:uid="{A4DCB074-AB57-5E43-BE17-B0D379CD8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P32" i="1"/>
  <c r="N33" i="1"/>
  <c r="O25" i="1"/>
  <c r="K39" i="1"/>
  <c r="K40" i="1" s="1"/>
  <c r="N43" i="1"/>
  <c r="M43" i="1"/>
  <c r="O42" i="1"/>
  <c r="O37" i="1"/>
  <c r="M42" i="1"/>
  <c r="M41" i="1"/>
  <c r="O40" i="1"/>
  <c r="J20" i="1"/>
  <c r="K36" i="1"/>
  <c r="L36" i="1"/>
  <c r="H23" i="1"/>
  <c r="H24" i="1" s="1"/>
  <c r="H22" i="1"/>
  <c r="I22" i="1"/>
  <c r="J22" i="1" s="1"/>
  <c r="I21" i="1"/>
  <c r="I20" i="1"/>
  <c r="I19" i="1"/>
  <c r="I17" i="1"/>
  <c r="I12" i="1"/>
  <c r="H10" i="1"/>
  <c r="H11" i="1"/>
  <c r="I11" i="1" s="1"/>
  <c r="I13" i="1" l="1"/>
  <c r="H15" i="1" s="1"/>
  <c r="H16" i="1" s="1"/>
  <c r="H26" i="1"/>
  <c r="H27" i="1" l="1"/>
  <c r="G28" i="1" s="1"/>
  <c r="G27" i="1"/>
  <c r="H17" i="1"/>
  <c r="H18" i="1" s="1"/>
  <c r="H19" i="1" s="1"/>
  <c r="G19" i="1" s="1"/>
  <c r="G17" i="1"/>
</calcChain>
</file>

<file path=xl/sharedStrings.xml><?xml version="1.0" encoding="utf-8"?>
<sst xmlns="http://schemas.openxmlformats.org/spreadsheetml/2006/main" count="2" uniqueCount="2">
  <si>
    <t>credit card bill of october</t>
  </si>
  <si>
    <t>before credit card paayment not done of october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</si>
</sst>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F687-C515-5045-8E45-56BD42F472A8}">
  <dimension ref="G10:P43"/>
  <sheetViews>
    <sheetView tabSelected="1" topLeftCell="A10" workbookViewId="0">
      <selection activeCell="I26" sqref="I26"/>
    </sheetView>
  </sheetViews>
  <sheetFormatPr baseColWidth="10" defaultRowHeight="16" x14ac:dyDescent="0.2"/>
  <cols>
    <col min="8" max="8" width="21" customWidth="1"/>
    <col min="9" max="9" width="16.83203125" customWidth="1"/>
    <col min="10" max="10" width="23" customWidth="1"/>
  </cols>
  <sheetData>
    <row r="10" spans="8:11" x14ac:dyDescent="0.2">
      <c r="H10">
        <f>10593.17</f>
        <v>10593.17</v>
      </c>
      <c r="I10" s="2" t="s">
        <v>1</v>
      </c>
      <c r="J10" s="2"/>
      <c r="K10" s="2"/>
    </row>
    <row r="11" spans="8:11" x14ac:dyDescent="0.2">
      <c r="H11">
        <f>10593.17</f>
        <v>10593.17</v>
      </c>
      <c r="I11">
        <f>H11-1840</f>
        <v>8753.17</v>
      </c>
      <c r="J11" t="s">
        <v>0</v>
      </c>
    </row>
    <row r="12" spans="8:11" x14ac:dyDescent="0.2">
      <c r="I12">
        <f>24257.77</f>
        <v>24257.77</v>
      </c>
    </row>
    <row r="13" spans="8:11" x14ac:dyDescent="0.2">
      <c r="I13">
        <f>I12+I11</f>
        <v>33010.94</v>
      </c>
    </row>
    <row r="15" spans="8:11" x14ac:dyDescent="0.2">
      <c r="H15">
        <f>I13</f>
        <v>33010.94</v>
      </c>
    </row>
    <row r="16" spans="8:11" x14ac:dyDescent="0.2">
      <c r="H16">
        <f>H15-10593.17</f>
        <v>22417.770000000004</v>
      </c>
    </row>
    <row r="17" spans="7:16" x14ac:dyDescent="0.2">
      <c r="G17">
        <f>H16+1840</f>
        <v>24257.770000000004</v>
      </c>
      <c r="H17">
        <f>H16-100</f>
        <v>22317.770000000004</v>
      </c>
      <c r="I17">
        <f>7500+4999</f>
        <v>12499</v>
      </c>
    </row>
    <row r="18" spans="7:16" x14ac:dyDescent="0.2">
      <c r="H18">
        <f>H17-I17</f>
        <v>9818.7700000000041</v>
      </c>
    </row>
    <row r="19" spans="7:16" x14ac:dyDescent="0.2">
      <c r="G19">
        <f>I17+H19</f>
        <v>20857.770000000004</v>
      </c>
      <c r="H19">
        <f>H18-J22</f>
        <v>8358.7700000000041</v>
      </c>
      <c r="I19">
        <f>200*6</f>
        <v>1200</v>
      </c>
    </row>
    <row r="20" spans="7:16" x14ac:dyDescent="0.2">
      <c r="I20">
        <f>400</f>
        <v>400</v>
      </c>
      <c r="J20">
        <f>300+40</f>
        <v>340</v>
      </c>
      <c r="L20">
        <v>22</v>
      </c>
    </row>
    <row r="21" spans="7:16" x14ac:dyDescent="0.2">
      <c r="I21">
        <f>200</f>
        <v>200</v>
      </c>
      <c r="L21">
        <v>20</v>
      </c>
      <c r="N21">
        <v>22</v>
      </c>
      <c r="O21">
        <v>20</v>
      </c>
    </row>
    <row r="22" spans="7:16" x14ac:dyDescent="0.2">
      <c r="H22" s="1">
        <f>20286.32</f>
        <v>20286.32</v>
      </c>
      <c r="I22">
        <f>SUM(I19:I21)</f>
        <v>1800</v>
      </c>
      <c r="J22">
        <f>I22-J20</f>
        <v>1460</v>
      </c>
      <c r="L22">
        <v>18</v>
      </c>
      <c r="N22">
        <v>18</v>
      </c>
      <c r="O22">
        <v>20</v>
      </c>
    </row>
    <row r="23" spans="7:16" x14ac:dyDescent="0.2">
      <c r="H23" s="1">
        <f>10589</f>
        <v>10589</v>
      </c>
      <c r="L23">
        <v>55</v>
      </c>
      <c r="N23">
        <v>35</v>
      </c>
      <c r="O23">
        <v>25</v>
      </c>
    </row>
    <row r="24" spans="7:16" x14ac:dyDescent="0.2">
      <c r="H24" s="1">
        <f>H22-H23</f>
        <v>9697.32</v>
      </c>
      <c r="L24">
        <v>22</v>
      </c>
      <c r="N24">
        <v>22</v>
      </c>
      <c r="O24">
        <v>25</v>
      </c>
    </row>
    <row r="25" spans="7:16" x14ac:dyDescent="0.2">
      <c r="I25">
        <f>12499+8102</f>
        <v>20601</v>
      </c>
      <c r="L25">
        <v>22</v>
      </c>
      <c r="N25">
        <v>22</v>
      </c>
      <c r="O25">
        <f>SUM(O21:O24)</f>
        <v>90</v>
      </c>
    </row>
    <row r="26" spans="7:16" x14ac:dyDescent="0.2">
      <c r="H26">
        <f>H24-J22</f>
        <v>8237.32</v>
      </c>
      <c r="L26">
        <v>28</v>
      </c>
      <c r="N26">
        <v>8</v>
      </c>
    </row>
    <row r="27" spans="7:16" x14ac:dyDescent="0.2">
      <c r="G27">
        <f>H26+I17</f>
        <v>20736.32</v>
      </c>
      <c r="H27">
        <f>H26-500</f>
        <v>7737.32</v>
      </c>
      <c r="L27">
        <v>9</v>
      </c>
      <c r="N27">
        <v>9</v>
      </c>
    </row>
    <row r="28" spans="7:16" x14ac:dyDescent="0.2">
      <c r="G28">
        <f>H27+I17</f>
        <v>20236.32</v>
      </c>
      <c r="L28">
        <v>25</v>
      </c>
      <c r="N28">
        <v>25</v>
      </c>
    </row>
    <row r="29" spans="7:16" x14ac:dyDescent="0.2">
      <c r="L29">
        <v>12</v>
      </c>
      <c r="N29">
        <v>12</v>
      </c>
    </row>
    <row r="30" spans="7:16" x14ac:dyDescent="0.2">
      <c r="L30">
        <v>25</v>
      </c>
      <c r="N30">
        <v>22</v>
      </c>
      <c r="P30">
        <v>104.22</v>
      </c>
    </row>
    <row r="31" spans="7:16" x14ac:dyDescent="0.2">
      <c r="L31">
        <v>12</v>
      </c>
      <c r="N31">
        <v>18</v>
      </c>
      <c r="P31">
        <v>102.85</v>
      </c>
    </row>
    <row r="32" spans="7:16" x14ac:dyDescent="0.2">
      <c r="L32">
        <v>25</v>
      </c>
      <c r="N32">
        <v>39</v>
      </c>
      <c r="P32">
        <f>P30+P31</f>
        <v>207.07</v>
      </c>
    </row>
    <row r="33" spans="11:15" x14ac:dyDescent="0.2">
      <c r="L33">
        <v>22</v>
      </c>
      <c r="N33">
        <f>SUM(N21:N32)</f>
        <v>252</v>
      </c>
    </row>
    <row r="34" spans="11:15" x14ac:dyDescent="0.2">
      <c r="L34">
        <v>6</v>
      </c>
    </row>
    <row r="35" spans="11:15" x14ac:dyDescent="0.2">
      <c r="L35">
        <v>12</v>
      </c>
    </row>
    <row r="36" spans="11:15" x14ac:dyDescent="0.2">
      <c r="K36">
        <f>200*6</f>
        <v>1200</v>
      </c>
      <c r="L36">
        <f>SUM(L20:L35)</f>
        <v>335</v>
      </c>
    </row>
    <row r="37" spans="11:15" x14ac:dyDescent="0.2">
      <c r="K37">
        <v>400</v>
      </c>
      <c r="O37">
        <f>1200-300</f>
        <v>900</v>
      </c>
    </row>
    <row r="38" spans="11:15" x14ac:dyDescent="0.2">
      <c r="K38">
        <v>335</v>
      </c>
      <c r="O38">
        <v>400</v>
      </c>
    </row>
    <row r="39" spans="11:15" x14ac:dyDescent="0.2">
      <c r="K39">
        <f>SUM(K36:K38)</f>
        <v>1935</v>
      </c>
      <c r="N39">
        <v>12</v>
      </c>
      <c r="O39">
        <v>335</v>
      </c>
    </row>
    <row r="40" spans="11:15" x14ac:dyDescent="0.2">
      <c r="K40">
        <f>K39-340</f>
        <v>1595</v>
      </c>
      <c r="O40">
        <f>SUM(O37:O39)</f>
        <v>1635</v>
      </c>
    </row>
    <row r="41" spans="11:15" x14ac:dyDescent="0.2">
      <c r="M41">
        <f>400/6</f>
        <v>66.666666666666671</v>
      </c>
    </row>
    <row r="42" spans="11:15" x14ac:dyDescent="0.2">
      <c r="M42">
        <f>200+M41</f>
        <v>266.66666666666669</v>
      </c>
      <c r="O42">
        <f>1000+400</f>
        <v>1400</v>
      </c>
    </row>
    <row r="43" spans="11:15" x14ac:dyDescent="0.2">
      <c r="M43">
        <f>M42*5</f>
        <v>1333.3333333333335</v>
      </c>
      <c r="N43">
        <f>M43+M41</f>
        <v>1400.0000000000002</v>
      </c>
    </row>
  </sheetData>
  <mergeCells count="1"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2025-11-29T18:58:32Z</dcterms:created>
  <dcterms:modified xsi:type="dcterms:W3CDTF">2025-11-30T19:47:37Z</dcterms:modified>
</cp:coreProperties>
</file>